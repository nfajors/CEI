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38620" windowHeight="21100" tabRatio="600" firstSheet="0" activeTab="0" autoFilterDateGrouping="1"/>
  </bookViews>
  <sheets>
    <sheet xmlns:r="http://schemas.openxmlformats.org/officeDocument/2006/relationships" name="Calculators" sheetId="1" state="visible" r:id="rId1"/>
    <sheet xmlns:r="http://schemas.openxmlformats.org/officeDocument/2006/relationships" name="Notes" sheetId="2" state="visible" r:id="rId2"/>
  </sheets>
  <definedNames/>
  <calcPr calcId="191028" fullCalcOnLoad="1" concurrentCalc="0"/>
</workbook>
</file>

<file path=xl/styles.xml><?xml version="1.0" encoding="utf-8"?>
<styleSheet xmlns="http://schemas.openxmlformats.org/spreadsheetml/2006/main">
  <numFmts count="5">
    <numFmt numFmtId="164" formatCode="_(&quot;$&quot;* #,##0.00_);_(&quot;$&quot;* \(#,##0.00\);_(&quot;$&quot;* &quot;-&quot;??_);_(@_)"/>
    <numFmt numFmtId="165" formatCode="_(&quot;$&quot;* #,##0.00000_);_(&quot;$&quot;* \(#,##0.00000\);_(&quot;$&quot;* &quot;-&quot;??_);_(@_)"/>
    <numFmt numFmtId="166" formatCode="0.000"/>
    <numFmt numFmtId="167" formatCode="_(&quot;$&quot;* #,##0.0000_);_(&quot;$&quot;* \(#,##0.0000\);_(&quot;$&quot;* &quot;-&quot;??_);_(@_)"/>
    <numFmt numFmtId="168" formatCode="0.0%"/>
  </numFmts>
  <fonts count="4">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b val="1"/>
      <color theme="1"/>
      <sz val="11"/>
      <u val="single"/>
      <scheme val="minor"/>
    </font>
  </fonts>
  <fills count="6">
    <fill>
      <patternFill/>
    </fill>
    <fill>
      <patternFill patternType="gray125"/>
    </fill>
    <fill>
      <patternFill patternType="solid">
        <fgColor theme="2"/>
        <bgColor indexed="64"/>
      </patternFill>
    </fill>
    <fill>
      <patternFill patternType="solid">
        <fgColor theme="9" tint="0.7999816888943144"/>
        <bgColor indexed="64"/>
      </patternFill>
    </fill>
    <fill>
      <patternFill patternType="solid">
        <fgColor rgb="FFFFFF00"/>
        <bgColor indexed="64"/>
      </patternFill>
    </fill>
    <fill>
      <patternFill patternType="solid">
        <fgColor theme="8" tint="0.3999755851924192"/>
        <bgColor indexed="64"/>
      </patternFill>
    </fill>
  </fills>
  <borders count="12">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3">
    <xf numFmtId="0" fontId="1" fillId="0" borderId="0"/>
    <xf numFmtId="44" fontId="1" fillId="0" borderId="0"/>
    <xf numFmtId="9" fontId="1" fillId="0" borderId="0"/>
  </cellStyleXfs>
  <cellXfs count="59">
    <xf numFmtId="0" fontId="0" fillId="0" borderId="0" pivotButton="0" quotePrefix="0" xfId="0"/>
    <xf numFmtId="164" fontId="0" fillId="0" borderId="3" pivotButton="0" quotePrefix="0" xfId="1"/>
    <xf numFmtId="164" fontId="0" fillId="0" borderId="4" pivotButton="0" quotePrefix="0" xfId="1"/>
    <xf numFmtId="0" fontId="0" fillId="0" borderId="5" pivotButton="0" quotePrefix="0" xfId="0"/>
    <xf numFmtId="0" fontId="0" fillId="3" borderId="5" pivotButton="0" quotePrefix="0" xfId="0"/>
    <xf numFmtId="164" fontId="0" fillId="3" borderId="5" pivotButton="0" quotePrefix="0" xfId="1"/>
    <xf numFmtId="164" fontId="0" fillId="4" borderId="4" pivotButton="0" quotePrefix="0" xfId="1"/>
    <xf numFmtId="0" fontId="0" fillId="4" borderId="0" pivotButton="0" quotePrefix="0" xfId="0"/>
    <xf numFmtId="0" fontId="0" fillId="4" borderId="5" pivotButton="0" quotePrefix="0" xfId="0"/>
    <xf numFmtId="0" fontId="0" fillId="2" borderId="5" pivotButton="0" quotePrefix="0" xfId="0"/>
    <xf numFmtId="164" fontId="0" fillId="4" borderId="5" pivotButton="0" quotePrefix="0" xfId="1"/>
    <xf numFmtId="165" fontId="0" fillId="0" borderId="0" pivotButton="0" quotePrefix="0" xfId="0"/>
    <xf numFmtId="0" fontId="0" fillId="0" borderId="0" pivotButton="0" quotePrefix="0" xfId="1"/>
    <xf numFmtId="0" fontId="0" fillId="0" borderId="0" applyAlignment="1" pivotButton="0" quotePrefix="0" xfId="0">
      <alignment horizontal="right"/>
    </xf>
    <xf numFmtId="10" fontId="0" fillId="4" borderId="5" pivotButton="0" quotePrefix="0" xfId="2"/>
    <xf numFmtId="166" fontId="0" fillId="4" borderId="0" pivotButton="0" quotePrefix="0" xfId="0"/>
    <xf numFmtId="0" fontId="0" fillId="0" borderId="0" applyAlignment="1" pivotButton="0" quotePrefix="0" xfId="0">
      <alignment horizontal="center"/>
    </xf>
    <xf numFmtId="164" fontId="0" fillId="4" borderId="0" pivotButton="0" quotePrefix="0" xfId="0"/>
    <xf numFmtId="164" fontId="0" fillId="4" borderId="0" pivotButton="0" quotePrefix="0" xfId="1"/>
    <xf numFmtId="164" fontId="0" fillId="3" borderId="4" pivotButton="0" quotePrefix="0" xfId="1"/>
    <xf numFmtId="0" fontId="0" fillId="0" borderId="4" pivotButton="0" quotePrefix="0" xfId="0"/>
    <xf numFmtId="0" fontId="2" fillId="0" borderId="5" pivotButton="0" quotePrefix="0" xfId="0"/>
    <xf numFmtId="0" fontId="0" fillId="0" borderId="9" pivotButton="0" quotePrefix="0" xfId="0"/>
    <xf numFmtId="167" fontId="0" fillId="4" borderId="0" pivotButton="0" quotePrefix="0" xfId="0"/>
    <xf numFmtId="164" fontId="0" fillId="4" borderId="0" pivotButton="0" quotePrefix="0" xfId="1"/>
    <xf numFmtId="0" fontId="2" fillId="0" borderId="10" pivotButton="0" quotePrefix="0" xfId="0"/>
    <xf numFmtId="0" fontId="0" fillId="0" borderId="2" pivotButton="0" quotePrefix="0" xfId="0"/>
    <xf numFmtId="0" fontId="3" fillId="0" borderId="0" pivotButton="0" quotePrefix="0" xfId="0"/>
    <xf numFmtId="0" fontId="2" fillId="0" borderId="9" pivotButton="0" quotePrefix="0" xfId="0"/>
    <xf numFmtId="166" fontId="0" fillId="4" borderId="2" pivotButton="0" quotePrefix="0" xfId="0"/>
    <xf numFmtId="0" fontId="0" fillId="3" borderId="2" pivotButton="0" quotePrefix="0" xfId="0"/>
    <xf numFmtId="0" fontId="2" fillId="5" borderId="4" applyAlignment="1" pivotButton="0" quotePrefix="0" xfId="0">
      <alignment horizontal="center"/>
    </xf>
    <xf numFmtId="0" fontId="2" fillId="5" borderId="0" applyAlignment="1" pivotButton="0" quotePrefix="0" xfId="0">
      <alignment horizontal="center"/>
    </xf>
    <xf numFmtId="0" fontId="2" fillId="0" borderId="1"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2" fillId="0" borderId="0" applyAlignment="1" pivotButton="0" quotePrefix="0" xfId="0">
      <alignment horizontal="center"/>
    </xf>
    <xf numFmtId="0" fontId="0" fillId="0" borderId="0" applyAlignment="1" pivotButton="0" quotePrefix="0" xfId="0">
      <alignment horizontal="center"/>
    </xf>
    <xf numFmtId="0" fontId="0" fillId="5" borderId="0" applyAlignment="1" pivotButton="0" quotePrefix="0" xfId="0">
      <alignment horizontal="center"/>
    </xf>
    <xf numFmtId="0" fontId="0" fillId="0" borderId="8" applyAlignment="1" pivotButton="0" quotePrefix="0" xfId="0">
      <alignment horizontal="center"/>
    </xf>
    <xf numFmtId="0" fontId="3" fillId="0" borderId="0" applyAlignment="1" pivotButton="0" quotePrefix="0" xfId="0">
      <alignment horizontal="center"/>
    </xf>
    <xf numFmtId="0" fontId="0" fillId="0" borderId="1" pivotButton="0" quotePrefix="0" xfId="0"/>
    <xf numFmtId="164" fontId="0" fillId="0" borderId="3" pivotButton="0" quotePrefix="0" xfId="1"/>
    <xf numFmtId="164" fontId="0" fillId="4" borderId="5" pivotButton="0" quotePrefix="0" xfId="1"/>
    <xf numFmtId="164" fontId="0" fillId="3" borderId="5" pivotButton="0" quotePrefix="0" xfId="1"/>
    <xf numFmtId="164" fontId="0" fillId="4" borderId="0" pivotButton="0" quotePrefix="0" xfId="1"/>
    <xf numFmtId="164" fontId="0" fillId="0" borderId="4" pivotButton="0" quotePrefix="0" xfId="1"/>
    <xf numFmtId="164" fontId="0" fillId="4" borderId="0" pivotButton="0" quotePrefix="0" xfId="0"/>
    <xf numFmtId="167" fontId="0" fillId="4" borderId="0" pivotButton="0" quotePrefix="0" xfId="0"/>
    <xf numFmtId="0" fontId="0" fillId="0" borderId="7" pivotButton="0" quotePrefix="0" xfId="0"/>
    <xf numFmtId="0" fontId="0" fillId="0" borderId="8" pivotButton="0" quotePrefix="0" xfId="0"/>
    <xf numFmtId="164" fontId="0" fillId="4" borderId="4" pivotButton="0" quotePrefix="0" xfId="1"/>
    <xf numFmtId="166" fontId="0" fillId="4" borderId="2" pivotButton="0" quotePrefix="0" xfId="0"/>
    <xf numFmtId="164" fontId="0" fillId="3" borderId="4" pivotButton="0" quotePrefix="0" xfId="1"/>
    <xf numFmtId="165" fontId="0" fillId="0" borderId="0" pivotButton="0" quotePrefix="0" xfId="0"/>
    <xf numFmtId="166" fontId="0" fillId="4" borderId="0" pivotButton="0" quotePrefix="0" xfId="0"/>
    <xf numFmtId="168" fontId="0" fillId="4" borderId="5" pivotButton="0" quotePrefix="0" xfId="2"/>
  </cellXfs>
  <cellStyles count="3">
    <cellStyle name="Normal" xfId="0" builtinId="0"/>
    <cellStyle name="Currency" xfId="1" builtinId="4"/>
    <cellStyle name="Percent" xfId="2" builtinId="5"/>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88"/>
  <sheetViews>
    <sheetView tabSelected="1" workbookViewId="0">
      <selection activeCell="I36" sqref="I36"/>
    </sheetView>
  </sheetViews>
  <sheetFormatPr baseColWidth="8" defaultRowHeight="14.5"/>
  <cols>
    <col width="15.7265625" customWidth="1" min="1" max="1"/>
    <col width="16.54296875" bestFit="1" customWidth="1" style="20" min="2" max="2"/>
    <col width="26.1796875" bestFit="1" customWidth="1" min="3" max="3"/>
    <col width="10.1796875" bestFit="1" customWidth="1" min="4" max="4"/>
    <col width="14.1796875" bestFit="1" customWidth="1" min="5" max="5"/>
    <col width="12.453125" bestFit="1" customWidth="1" min="6" max="6"/>
    <col width="10.81640625" bestFit="1" customWidth="1" min="7" max="8"/>
    <col width="11" bestFit="1" customWidth="1" min="10" max="10"/>
  </cols>
  <sheetData>
    <row r="1">
      <c r="B1" s="20" t="inlineStr">
        <is>
          <t>Break even analysis</t>
        </is>
      </c>
    </row>
    <row r="3">
      <c r="B3" s="32" t="inlineStr">
        <is>
          <t>Break even Price calculator(Change subscribers and/or articles written)</t>
        </is>
      </c>
    </row>
    <row r="4">
      <c r="B4" s="33" t="inlineStr">
        <is>
          <t>expenses</t>
        </is>
      </c>
      <c r="C4" s="43" t="n"/>
      <c r="D4" s="43" t="n"/>
      <c r="G4" s="38" t="inlineStr">
        <is>
          <t>revenues</t>
        </is>
      </c>
    </row>
    <row r="5">
      <c r="B5" s="25" t="inlineStr">
        <is>
          <t>fixed(monthly)</t>
        </is>
      </c>
      <c r="D5" s="44" t="n"/>
      <c r="G5" s="37" t="inlineStr">
        <is>
          <t>Subscription Price</t>
        </is>
      </c>
      <c r="H5" s="26" t="n"/>
      <c r="I5" s="45">
        <f>F29</f>
        <v/>
      </c>
    </row>
    <row r="6">
      <c r="C6" s="3" t="inlineStr">
        <is>
          <t>website hosted on wordpress</t>
        </is>
      </c>
      <c r="D6" s="46" t="n">
        <v>10</v>
      </c>
    </row>
    <row r="7">
      <c r="C7" s="3" t="inlineStr">
        <is>
          <t>internet</t>
        </is>
      </c>
      <c r="D7" s="46" t="n">
        <v>50</v>
      </c>
      <c r="I7" s="12" t="n"/>
    </row>
    <row r="8">
      <c r="C8" s="3" t="n"/>
      <c r="D8" s="46" t="n"/>
      <c r="I8" s="12" t="n"/>
    </row>
    <row r="9">
      <c r="C9" s="3" t="n"/>
      <c r="D9" s="46" t="n"/>
      <c r="I9" s="12" t="n"/>
    </row>
    <row r="10">
      <c r="C10" s="3" t="n"/>
      <c r="D10" s="46" t="n"/>
      <c r="I10" s="12" t="n"/>
    </row>
    <row r="11">
      <c r="C11" s="3" t="n"/>
      <c r="D11" s="46" t="n"/>
      <c r="I11" s="12" t="n"/>
    </row>
    <row r="12">
      <c r="C12" s="3" t="n"/>
      <c r="D12" s="46" t="n"/>
      <c r="I12" s="12" t="n"/>
    </row>
    <row r="13">
      <c r="C13" s="3" t="inlineStr">
        <is>
          <t>marketing</t>
        </is>
      </c>
      <c r="D13" s="46" t="n">
        <v>10</v>
      </c>
    </row>
    <row r="14">
      <c r="D14" s="47">
        <f>SUM(D6:D13)</f>
        <v/>
      </c>
    </row>
    <row r="15">
      <c r="A15" s="27" t="inlineStr">
        <is>
          <t>unit</t>
        </is>
      </c>
      <c r="B15" s="28" t="inlineStr">
        <is>
          <t>variable(per)</t>
        </is>
      </c>
      <c r="D15" s="48" t="n"/>
      <c r="E15" t="inlineStr">
        <is>
          <t>(Total per count)</t>
        </is>
      </c>
      <c r="H15" s="39" t="n"/>
    </row>
    <row r="16">
      <c r="A16" t="inlineStr">
        <is>
          <t>customers</t>
        </is>
      </c>
      <c r="B16" s="30" t="n">
        <v>400</v>
      </c>
      <c r="C16" t="inlineStr">
        <is>
          <t>customer acquisition/retention</t>
        </is>
      </c>
      <c r="D16" s="46" t="n">
        <v>2</v>
      </c>
      <c r="E16" s="49">
        <f>D16*B16</f>
        <v/>
      </c>
    </row>
    <row r="17">
      <c r="B17" s="30" t="n"/>
      <c r="D17" s="46" t="n"/>
      <c r="E17" s="49">
        <f>D17*B17</f>
        <v/>
      </c>
    </row>
    <row r="18">
      <c r="B18" s="30" t="n"/>
      <c r="D18" s="46" t="n"/>
      <c r="E18" s="49">
        <f>D18*B18</f>
        <v/>
      </c>
    </row>
    <row r="19">
      <c r="B19" s="30" t="n"/>
      <c r="D19" s="46" t="n"/>
      <c r="E19" s="49">
        <f>D19*B19</f>
        <v/>
      </c>
    </row>
    <row r="20">
      <c r="B20" s="30" t="n"/>
      <c r="D20" s="46" t="n"/>
      <c r="E20" s="49">
        <f>D20*B20</f>
        <v/>
      </c>
    </row>
    <row r="21">
      <c r="B21" s="30" t="n"/>
      <c r="D21" s="46" t="n"/>
      <c r="E21" s="49">
        <f>D21*B21</f>
        <v/>
      </c>
    </row>
    <row r="22">
      <c r="A22" t="inlineStr">
        <is>
          <t>articles written</t>
        </is>
      </c>
      <c r="B22" s="30" t="n">
        <v>4</v>
      </c>
      <c r="C22" t="inlineStr">
        <is>
          <t>cost per article written</t>
        </is>
      </c>
      <c r="D22" s="46" t="n">
        <v>50</v>
      </c>
      <c r="E22" s="49">
        <f>D22*B22</f>
        <v/>
      </c>
    </row>
    <row r="23">
      <c r="C23" s="13" t="inlineStr">
        <is>
          <t>sum of varible</t>
        </is>
      </c>
      <c r="D23" s="47">
        <f>SUM(E16:E22)</f>
        <v/>
      </c>
    </row>
    <row r="24">
      <c r="B24" s="3" t="inlineStr">
        <is>
          <t>KEY</t>
        </is>
      </c>
    </row>
    <row r="25">
      <c r="B25" s="8" t="inlineStr">
        <is>
          <t>Calculated field</t>
        </is>
      </c>
      <c r="F25" s="3" t="inlineStr">
        <is>
          <t>rev</t>
        </is>
      </c>
      <c r="G25" s="3" t="inlineStr">
        <is>
          <t>exp</t>
        </is>
      </c>
      <c r="H25" s="3" t="inlineStr">
        <is>
          <t>profit</t>
        </is>
      </c>
    </row>
    <row r="26">
      <c r="B26" s="9" t="inlineStr">
        <is>
          <t>unchanging field</t>
        </is>
      </c>
      <c r="F26" s="49">
        <f>I5*B16</f>
        <v/>
      </c>
      <c r="G26" s="49">
        <f>D23+D14</f>
        <v/>
      </c>
      <c r="H26" s="49">
        <f>F26-G26</f>
        <v/>
      </c>
    </row>
    <row r="27">
      <c r="B27" s="4" t="inlineStr">
        <is>
          <t>variable field</t>
        </is>
      </c>
    </row>
    <row r="29">
      <c r="E29" s="7" t="inlineStr">
        <is>
          <t>break even price</t>
        </is>
      </c>
      <c r="F29" s="50">
        <f>(D14+B22*D22+B16*D16)/B16</f>
        <v/>
      </c>
    </row>
    <row r="33">
      <c r="B33" s="32" t="inlineStr">
        <is>
          <t>Break even subscriber calculator(Change price and/or articles written)</t>
        </is>
      </c>
    </row>
    <row r="34">
      <c r="B34" s="33" t="inlineStr">
        <is>
          <t>expenses</t>
        </is>
      </c>
      <c r="C34" s="43" t="n"/>
      <c r="D34" s="43" t="n"/>
      <c r="G34" s="33" t="inlineStr">
        <is>
          <t>revenues</t>
        </is>
      </c>
      <c r="H34" s="43" t="n"/>
      <c r="I34" s="43" t="n"/>
    </row>
    <row r="35">
      <c r="B35" s="25" t="inlineStr">
        <is>
          <t>fixed(monthly)</t>
        </is>
      </c>
      <c r="D35" s="44" t="n"/>
      <c r="G35" s="37" t="inlineStr">
        <is>
          <t xml:space="preserve">Subscription </t>
        </is>
      </c>
      <c r="H35" s="51" t="n"/>
      <c r="I35" s="26" t="n"/>
    </row>
    <row r="36">
      <c r="C36" s="3" t="inlineStr">
        <is>
          <t>website hosted on wordpress</t>
        </is>
      </c>
      <c r="D36" s="46" t="n">
        <v>10</v>
      </c>
      <c r="G36" s="37" t="inlineStr">
        <is>
          <t>Price</t>
        </is>
      </c>
      <c r="H36" s="26" t="n"/>
      <c r="I36" s="46" t="n">
        <v>9.99</v>
      </c>
    </row>
    <row r="37">
      <c r="C37" s="3" t="inlineStr">
        <is>
          <t>internet</t>
        </is>
      </c>
      <c r="D37" s="46" t="n">
        <v>50</v>
      </c>
      <c r="G37" s="41" t="n"/>
      <c r="H37" s="52" t="n"/>
      <c r="I37" s="12" t="n"/>
    </row>
    <row r="38">
      <c r="C38" s="3" t="n"/>
      <c r="D38" s="46" t="n"/>
    </row>
    <row r="39">
      <c r="C39" s="3" t="n"/>
      <c r="D39" s="46" t="n"/>
    </row>
    <row r="40">
      <c r="C40" s="3" t="n"/>
      <c r="D40" s="46" t="n"/>
    </row>
    <row r="41">
      <c r="C41" s="3" t="n"/>
      <c r="D41" s="46" t="n"/>
    </row>
    <row r="42">
      <c r="C42" s="3" t="n"/>
      <c r="D42" s="46" t="n"/>
    </row>
    <row r="43">
      <c r="C43" s="3" t="inlineStr">
        <is>
          <t>marketing</t>
        </is>
      </c>
      <c r="D43" s="46" t="n">
        <v>10</v>
      </c>
    </row>
    <row r="44">
      <c r="B44" s="22" t="n"/>
      <c r="C44" s="13" t="inlineStr">
        <is>
          <t>total</t>
        </is>
      </c>
      <c r="D44" s="53">
        <f>SUM(D36:D43)</f>
        <v/>
      </c>
    </row>
    <row r="45">
      <c r="A45" s="27" t="inlineStr">
        <is>
          <t>Unit</t>
        </is>
      </c>
      <c r="B45" s="25" t="inlineStr">
        <is>
          <t>variable(per)</t>
        </is>
      </c>
      <c r="D45" s="48" t="n"/>
      <c r="E45" t="inlineStr">
        <is>
          <t>(Total per count)</t>
        </is>
      </c>
    </row>
    <row r="46">
      <c r="A46" t="inlineStr">
        <is>
          <t>Subscriptions</t>
        </is>
      </c>
      <c r="B46" s="54">
        <f>F59</f>
        <v/>
      </c>
      <c r="C46" t="inlineStr">
        <is>
          <t>customer acquisition/retention</t>
        </is>
      </c>
      <c r="D46" s="55" t="n">
        <v>2</v>
      </c>
      <c r="E46" s="49">
        <f>D46*B46</f>
        <v/>
      </c>
    </row>
    <row r="47">
      <c r="B47" s="26" t="n"/>
      <c r="D47" s="55" t="n"/>
      <c r="E47" s="49">
        <f>D47*B47</f>
        <v/>
      </c>
    </row>
    <row r="48">
      <c r="B48" s="26" t="n"/>
      <c r="D48" s="55" t="n"/>
      <c r="E48" s="49">
        <f>D48*B48</f>
        <v/>
      </c>
    </row>
    <row r="49">
      <c r="B49" s="26" t="n"/>
      <c r="D49" s="55" t="n"/>
      <c r="E49" s="49">
        <f>D49*B49</f>
        <v/>
      </c>
      <c r="F49" s="56" t="n"/>
    </row>
    <row r="50">
      <c r="B50" s="26" t="n"/>
      <c r="D50" s="55" t="n"/>
      <c r="E50" s="49">
        <f>D50*B50</f>
        <v/>
      </c>
    </row>
    <row r="51">
      <c r="B51" s="26" t="n"/>
      <c r="D51" s="55" t="n"/>
      <c r="E51" s="49">
        <f>D51*B51</f>
        <v/>
      </c>
    </row>
    <row r="52">
      <c r="A52" t="inlineStr">
        <is>
          <t>Articles written</t>
        </is>
      </c>
      <c r="B52" s="30" t="n">
        <v>10</v>
      </c>
      <c r="C52" t="inlineStr">
        <is>
          <t>cost per article written</t>
        </is>
      </c>
      <c r="D52" s="55" t="n">
        <v>50</v>
      </c>
      <c r="E52" s="49">
        <f>D52*B52</f>
        <v/>
      </c>
    </row>
    <row r="53">
      <c r="C53" s="13" t="inlineStr">
        <is>
          <t>sum of varible</t>
        </is>
      </c>
      <c r="D53" s="47">
        <f>SUM(E46:E52)</f>
        <v/>
      </c>
    </row>
    <row r="54">
      <c r="B54" s="3" t="inlineStr">
        <is>
          <t>KEY</t>
        </is>
      </c>
    </row>
    <row r="55">
      <c r="B55" s="8" t="inlineStr">
        <is>
          <t>Calculated field</t>
        </is>
      </c>
      <c r="F55" s="3" t="inlineStr">
        <is>
          <t>rev</t>
        </is>
      </c>
      <c r="G55" s="3" t="inlineStr">
        <is>
          <t>exp</t>
        </is>
      </c>
      <c r="H55" s="3" t="inlineStr">
        <is>
          <t>profit</t>
        </is>
      </c>
    </row>
    <row r="56">
      <c r="B56" s="9" t="inlineStr">
        <is>
          <t>unchanging field</t>
        </is>
      </c>
      <c r="F56" s="49">
        <f>I36*B46</f>
        <v/>
      </c>
      <c r="G56" s="49">
        <f>D53+D44</f>
        <v/>
      </c>
      <c r="H56" s="49">
        <f>F56-G56</f>
        <v/>
      </c>
    </row>
    <row r="57">
      <c r="B57" s="4" t="inlineStr">
        <is>
          <t>variable field</t>
        </is>
      </c>
    </row>
    <row r="59">
      <c r="E59" s="7" t="inlineStr">
        <is>
          <t>break even subs</t>
        </is>
      </c>
      <c r="F59" s="57">
        <f>(D44+B52*D52)/(I36-D46)</f>
        <v/>
      </c>
    </row>
    <row r="64">
      <c r="B64" s="31" t="inlineStr">
        <is>
          <t>Open-end Calculator</t>
        </is>
      </c>
    </row>
    <row r="65">
      <c r="B65" s="33" t="inlineStr">
        <is>
          <t>expenses</t>
        </is>
      </c>
      <c r="C65" s="43" t="n"/>
      <c r="D65" s="43" t="n"/>
      <c r="G65" s="33" t="inlineStr">
        <is>
          <t>revenues</t>
        </is>
      </c>
      <c r="H65" s="43" t="n"/>
      <c r="I65" s="43" t="n"/>
    </row>
    <row r="66">
      <c r="B66" s="21" t="inlineStr">
        <is>
          <t>fixed(monthly)</t>
        </is>
      </c>
      <c r="D66" s="44" t="n"/>
      <c r="G66" s="37" t="inlineStr">
        <is>
          <t xml:space="preserve">Subscription </t>
        </is>
      </c>
      <c r="H66" s="51" t="n"/>
      <c r="I66" s="26" t="n"/>
    </row>
    <row r="67">
      <c r="B67" s="22" t="n"/>
      <c r="C67" s="3" t="inlineStr">
        <is>
          <t>website hosted on wordpress</t>
        </is>
      </c>
      <c r="D67" s="46" t="n">
        <v>10</v>
      </c>
      <c r="G67" s="37" t="inlineStr">
        <is>
          <t>Price</t>
        </is>
      </c>
      <c r="H67" s="26" t="n"/>
      <c r="I67" s="46" t="n">
        <v>8.5</v>
      </c>
    </row>
    <row r="68">
      <c r="B68" s="22" t="n"/>
      <c r="C68" s="3" t="inlineStr">
        <is>
          <t>internet</t>
        </is>
      </c>
      <c r="D68" s="46" t="n">
        <v>50</v>
      </c>
      <c r="G68" s="39" t="n"/>
      <c r="I68" s="12" t="n"/>
    </row>
    <row r="69">
      <c r="B69" s="22" t="n"/>
      <c r="C69" s="3" t="n"/>
      <c r="D69" s="46" t="n"/>
    </row>
    <row r="70">
      <c r="B70" s="22" t="n"/>
      <c r="C70" s="3" t="n"/>
      <c r="D70" s="46" t="n"/>
    </row>
    <row r="71">
      <c r="B71" s="22" t="n"/>
      <c r="C71" s="3" t="n"/>
      <c r="D71" s="46" t="n"/>
    </row>
    <row r="72">
      <c r="B72" s="22" t="n"/>
      <c r="C72" s="3" t="n"/>
      <c r="D72" s="46" t="n"/>
    </row>
    <row r="73">
      <c r="B73" s="22" t="n"/>
      <c r="C73" s="3" t="n"/>
      <c r="D73" s="46" t="n"/>
    </row>
    <row r="74">
      <c r="B74" s="22" t="n"/>
      <c r="C74" s="3" t="inlineStr">
        <is>
          <t>marketing</t>
        </is>
      </c>
      <c r="D74" s="46" t="n">
        <v>10</v>
      </c>
    </row>
    <row r="75">
      <c r="D75" s="47">
        <f>SUM(D67:D74)</f>
        <v/>
      </c>
    </row>
    <row r="76">
      <c r="A76" s="27" t="inlineStr">
        <is>
          <t>unit</t>
        </is>
      </c>
      <c r="B76" s="25" t="inlineStr">
        <is>
          <t>variable(per)</t>
        </is>
      </c>
      <c r="D76" s="48" t="n"/>
      <c r="E76" t="inlineStr">
        <is>
          <t>(Total per count)</t>
        </is>
      </c>
      <c r="J76" s="3" t="inlineStr">
        <is>
          <t>profit margin</t>
        </is>
      </c>
    </row>
    <row r="77">
      <c r="A77" t="inlineStr">
        <is>
          <t>Subscriptions</t>
        </is>
      </c>
      <c r="B77" s="30" t="n">
        <v>500</v>
      </c>
      <c r="C77" s="3" t="inlineStr">
        <is>
          <t>customer acquisition/retention</t>
        </is>
      </c>
      <c r="D77" s="46" t="n">
        <v>2</v>
      </c>
      <c r="E77" s="49">
        <f>D77*B77</f>
        <v/>
      </c>
      <c r="J77" s="58">
        <f>H87/F87</f>
        <v/>
      </c>
    </row>
    <row r="78">
      <c r="B78" s="30" t="n"/>
      <c r="C78" s="3" t="n"/>
      <c r="D78" s="46" t="n"/>
      <c r="E78" s="49">
        <f>D78*B78</f>
        <v/>
      </c>
    </row>
    <row r="79">
      <c r="B79" s="30" t="n"/>
      <c r="C79" s="3" t="n"/>
      <c r="D79" s="46" t="n"/>
      <c r="E79" s="49">
        <f>D79*B79</f>
        <v/>
      </c>
    </row>
    <row r="80">
      <c r="B80" s="30" t="n"/>
      <c r="C80" s="3" t="n"/>
      <c r="D80" s="46" t="n"/>
      <c r="E80" s="49">
        <f>D80*B80</f>
        <v/>
      </c>
    </row>
    <row r="81">
      <c r="B81" s="30" t="n"/>
      <c r="C81" s="3" t="n"/>
      <c r="D81" s="46" t="n"/>
      <c r="E81" s="49">
        <f>D81*B81</f>
        <v/>
      </c>
    </row>
    <row r="82">
      <c r="B82" s="30" t="n"/>
      <c r="C82" s="3" t="n"/>
      <c r="D82" s="46" t="n"/>
      <c r="E82" s="49">
        <f>D82*B82</f>
        <v/>
      </c>
    </row>
    <row r="83">
      <c r="A83" t="inlineStr">
        <is>
          <t>Articles written</t>
        </is>
      </c>
      <c r="B83" s="30" t="n">
        <v>4</v>
      </c>
      <c r="C83" t="inlineStr">
        <is>
          <t>cost per article written</t>
        </is>
      </c>
      <c r="D83" s="46" t="n">
        <v>50</v>
      </c>
      <c r="E83" s="49">
        <f>D83*B83</f>
        <v/>
      </c>
    </row>
    <row r="84">
      <c r="C84" s="13" t="inlineStr">
        <is>
          <t>sum of varible</t>
        </is>
      </c>
      <c r="D84" s="47">
        <f>SUM(E77:E83)</f>
        <v/>
      </c>
    </row>
    <row r="85">
      <c r="B85" s="3" t="inlineStr">
        <is>
          <t>KEY</t>
        </is>
      </c>
    </row>
    <row r="86">
      <c r="B86" s="8" t="inlineStr">
        <is>
          <t>Calculated field</t>
        </is>
      </c>
      <c r="F86" s="3" t="inlineStr">
        <is>
          <t>rev</t>
        </is>
      </c>
      <c r="G86" s="3" t="inlineStr">
        <is>
          <t>exp</t>
        </is>
      </c>
      <c r="H86" s="3" t="inlineStr">
        <is>
          <t>profit</t>
        </is>
      </c>
    </row>
    <row r="87">
      <c r="B87" s="9" t="inlineStr">
        <is>
          <t>unchanging field</t>
        </is>
      </c>
      <c r="F87" s="49">
        <f>I67*B77</f>
        <v/>
      </c>
      <c r="G87" s="49">
        <f>D84+D75</f>
        <v/>
      </c>
      <c r="H87" s="49">
        <f>F87-G87</f>
        <v/>
      </c>
    </row>
    <row r="88">
      <c r="B88" s="4" t="inlineStr">
        <is>
          <t>variable field</t>
        </is>
      </c>
    </row>
  </sheetData>
  <mergeCells count="16">
    <mergeCell ref="B64:I64"/>
    <mergeCell ref="G66:I66"/>
    <mergeCell ref="G68:H68"/>
    <mergeCell ref="B33:I33"/>
    <mergeCell ref="G65:I65"/>
    <mergeCell ref="B4:D4"/>
    <mergeCell ref="G5:H5"/>
    <mergeCell ref="G37:H37"/>
    <mergeCell ref="G67:H67"/>
    <mergeCell ref="B3:I3"/>
    <mergeCell ref="G35:I35"/>
    <mergeCell ref="B65:D65"/>
    <mergeCell ref="G34:I34"/>
    <mergeCell ref="G36:H36"/>
    <mergeCell ref="G4:I4"/>
    <mergeCell ref="B34:D34"/>
  </mergeCells>
  <conditionalFormatting sqref="H87">
    <cfRule type="cellIs" priority="1" operator="lessThan" dxfId="1">
      <formula>0</formula>
    </cfRule>
    <cfRule type="cellIs" priority="2" operator="greaterThan" dxfId="0">
      <formula>0</formula>
    </cfRule>
  </conditionalFormatting>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8" sqref="A8"/>
    </sheetView>
  </sheetViews>
  <sheetFormatPr baseColWidth="8" defaultRowHeight="14.5"/>
  <cols>
    <col width="17.453125" customWidth="1" min="1" max="1"/>
  </cols>
  <sheetData>
    <row r="1">
      <c r="A1" t="inlineStr">
        <is>
          <t>Notes</t>
        </is>
      </c>
    </row>
    <row r="3">
      <c r="A3" s="42" t="inlineStr">
        <is>
          <t>Equations</t>
        </is>
      </c>
    </row>
    <row r="4">
      <c r="A4" t="inlineStr">
        <is>
          <t>Profit</t>
        </is>
      </c>
      <c r="B4" t="inlineStr">
        <is>
          <t>ALL revenue - ALL expenses (R-E = P)</t>
        </is>
      </c>
    </row>
    <row r="5">
      <c r="A5" t="inlineStr">
        <is>
          <t>Profit Margin</t>
        </is>
      </c>
      <c r="B5" t="inlineStr">
        <is>
          <t>Profit divided by Revenue (P / R)</t>
        </is>
      </c>
    </row>
    <row r="7">
      <c r="A7" s="42" t="inlineStr">
        <is>
          <t>Reminder</t>
        </is>
      </c>
    </row>
    <row r="8">
      <c r="A8" t="inlineStr">
        <is>
          <t>These statistics are just estimates, but the better the information you put in, the more accurate the results will be. So remember to be thurough when thinking of your revenue sources and expenses!</t>
        </is>
      </c>
    </row>
  </sheetData>
  <mergeCells count="2">
    <mergeCell ref="A3:F3"/>
    <mergeCell ref="A7:F7"/>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Rivera Hassemer, Sophia</dc:creator>
  <dcterms:created xmlns:dcterms="http://purl.org/dc/terms/" xmlns:xsi="http://www.w3.org/2001/XMLSchema-instance" xsi:type="dcterms:W3CDTF">2024-06-24T15:02:09Z</dcterms:created>
  <dcterms:modified xmlns:dcterms="http://purl.org/dc/terms/" xmlns:xsi="http://www.w3.org/2001/XMLSchema-instance" xsi:type="dcterms:W3CDTF">2026-10-22T19:23:55Z</dcterms:modified>
  <cp:lastModifiedBy>Rivera Hassemer, Sophia</cp:lastModifiedBy>
</cp:coreProperties>
</file>